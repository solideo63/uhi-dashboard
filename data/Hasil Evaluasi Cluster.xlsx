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9d1a0eeb15c812/Dokumen/Skripsi Deo/Hasil/"/>
    </mc:Choice>
  </mc:AlternateContent>
  <xr:revisionPtr revIDLastSave="206" documentId="8_{44600D45-EB44-4517-BE2E-DEF49533AE30}" xr6:coauthVersionLast="47" xr6:coauthVersionMax="47" xr10:uidLastSave="{9A46DAEE-BA1F-43AE-8EAF-AD814C061295}"/>
  <bookViews>
    <workbookView xWindow="-98" yWindow="-98" windowWidth="21795" windowHeight="13695" activeTab="4" xr2:uid="{76644049-3252-4575-8392-58FA54A1D45E}"/>
  </bookViews>
  <sheets>
    <sheet name="Sheet1" sheetId="2" r:id="rId1"/>
    <sheet name="Sheet2" sheetId="3" r:id="rId2"/>
    <sheet name="Sheet3" sheetId="4" r:id="rId3"/>
    <sheet name="Sheet4" sheetId="5" r:id="rId4"/>
    <sheet name="Sheet6" sheetId="7" r:id="rId5"/>
    <sheet name="evaluation_all_k (2)" sheetId="1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<sst xmlns="http://schemas.openxmlformats.org/spreadsheetml/2006/main" count="177" uniqueCount="98">
  <si>
    <t>Method</t>
  </si>
  <si>
    <t>K</t>
  </si>
  <si>
    <t>WCSS</t>
  </si>
  <si>
    <t>Silhouette</t>
  </si>
  <si>
    <t>DB_Index</t>
  </si>
  <si>
    <t>Dunn_Index</t>
  </si>
  <si>
    <t>K-Means</t>
  </si>
  <si>
    <t>DTW K-Means</t>
  </si>
  <si>
    <t>K-Shape</t>
  </si>
  <si>
    <t>Row Labels</t>
  </si>
  <si>
    <t>Sum of WCSS</t>
  </si>
  <si>
    <t>Grand Total</t>
  </si>
  <si>
    <t>Sum of Silhouette</t>
  </si>
  <si>
    <t>Sum of DB_Index</t>
  </si>
  <si>
    <t>Sum of Dunn_Index</t>
  </si>
  <si>
    <t>Column Labels</t>
  </si>
  <si>
    <t>Total Sum of WCSS</t>
  </si>
  <si>
    <t>Total Sum of Silhouette</t>
  </si>
  <si>
    <t>Total Sum of DB_Index</t>
  </si>
  <si>
    <t>Total Sum of Dunn_Index</t>
  </si>
  <si>
    <t>Jumlah Cluster</t>
  </si>
  <si>
    <t>Silhouette Score</t>
  </si>
  <si>
    <t>DB Index</t>
  </si>
  <si>
    <t>Dunn Index</t>
  </si>
  <si>
    <t>No</t>
  </si>
  <si>
    <t>Kode Model</t>
  </si>
  <si>
    <t>Deskripsi Model</t>
  </si>
  <si>
    <t>Variabel/Fitur</t>
  </si>
  <si>
    <t>Model 1 (M1)</t>
  </si>
  <si>
    <t>Model berbasis clustering dan time series LST</t>
  </si>
  <si>
    <t>Cluster (K-Means) + Lag LST (2009–2021)</t>
  </si>
  <si>
    <t>Model 2 (M2)</t>
  </si>
  <si>
    <t>Model time series univariat berbasis LST</t>
  </si>
  <si>
    <t>Lag LST (2009–2021)</t>
  </si>
  <si>
    <t>Model 3 (M3)</t>
  </si>
  <si>
    <t>Model multivariat berbasis variabel lingkungan dan time series</t>
  </si>
  <si>
    <t>Lag LST + Lag NDVI + Lag NDBI (2009–2021)</t>
  </si>
  <si>
    <t>Model 4 (M4)</t>
  </si>
  <si>
    <t>Model multivariat dengan integrasi clustering dan variabel lingkungan</t>
  </si>
  <si>
    <t>Cluster (K-Means) + Lag LST + Lag NDVI + Lag NDBI (2009–2021)</t>
  </si>
  <si>
    <t>Config</t>
  </si>
  <si>
    <t>Algorithm</t>
  </si>
  <si>
    <t>N_Features</t>
  </si>
  <si>
    <t>Split</t>
  </si>
  <si>
    <t>Train_R2</t>
  </si>
  <si>
    <t>Train_Adj_R2</t>
  </si>
  <si>
    <t>Test_R2</t>
  </si>
  <si>
    <t>Test_Adj_R2</t>
  </si>
  <si>
    <t>Test_RMSE</t>
  </si>
  <si>
    <t>Test_MAE</t>
  </si>
  <si>
    <t>Test_MAPE</t>
  </si>
  <si>
    <t>CV_R2_Mean</t>
  </si>
  <si>
    <t>CV_R2_Std</t>
  </si>
  <si>
    <t>M1: Lag LST saja</t>
  </si>
  <si>
    <t>RF</t>
  </si>
  <si>
    <t>Semua Grid</t>
  </si>
  <si>
    <t>SVR</t>
  </si>
  <si>
    <t>M2: Lag LST (per Cluster)</t>
  </si>
  <si>
    <t>Per Cluster</t>
  </si>
  <si>
    <t>M3: Lag LST + NDVI + NDBI</t>
  </si>
  <si>
    <t>M4: Lag LST + NDVI + NDBI (per Cluster)</t>
  </si>
  <si>
    <t>Konfigurasi &amp; Split</t>
  </si>
  <si>
    <t>Train R²RF</t>
  </si>
  <si>
    <t>Train R²SVR</t>
  </si>
  <si>
    <t>Train Adj R²RF</t>
  </si>
  <si>
    <t>Train Adj R²SVR</t>
  </si>
  <si>
    <t>Test R²RF</t>
  </si>
  <si>
    <t>Test R²SVR</t>
  </si>
  <si>
    <t>Test Adj R²RF</t>
  </si>
  <si>
    <t>Test Adj R²SVR</t>
  </si>
  <si>
    <t>Test RMSERF</t>
  </si>
  <si>
    <t>Test RMSESVR</t>
  </si>
  <si>
    <t>Test MAERF</t>
  </si>
  <si>
    <t>Test MAESVR</t>
  </si>
  <si>
    <t>Test MAPERF</t>
  </si>
  <si>
    <t>Test MAPESVR</t>
  </si>
  <si>
    <t>CV R² MeanRF</t>
  </si>
  <si>
    <t>CV R² MeanSVR</t>
  </si>
  <si>
    <t>CV R² StdRF</t>
  </si>
  <si>
    <t>CV R² StdSVR</t>
  </si>
  <si>
    <t>(5 Features, Semua Grid)</t>
  </si>
  <si>
    <t>(5 Features, Per Cluster)</t>
  </si>
  <si>
    <t>(17 Features, Semua Grid)</t>
  </si>
  <si>
    <t>(17 Features, Per Cluster)</t>
  </si>
  <si>
    <t>Train R²</t>
  </si>
  <si>
    <t>Train Adj R²</t>
  </si>
  <si>
    <t xml:space="preserve">CV R² Mean </t>
  </si>
  <si>
    <t>CV R² Std</t>
  </si>
  <si>
    <t>Konfigurasi</t>
  </si>
  <si>
    <t>R²</t>
  </si>
  <si>
    <t>Adj R²</t>
  </si>
  <si>
    <t>RMSE</t>
  </si>
  <si>
    <t>MAE</t>
  </si>
  <si>
    <t>MAPE</t>
  </si>
  <si>
    <t>Model 1</t>
  </si>
  <si>
    <t>Model 2</t>
  </si>
  <si>
    <t>Model 3</t>
  </si>
  <si>
    <t>Model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</si>
</sst>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6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 textRotation="180"/>
    </xf>
    <xf numFmtId="0" fontId="0" fillId="0" borderId="0" xfId="0" applyAlignment="1">
      <alignment horizontal="center" vertical="center" textRotation="180"/>
    </xf>
    <xf numFmtId="10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ideo G. Bangun" refreshedDate="46117.739369791663" createdVersion="8" refreshedVersion="8" minRefreshableVersion="3" recordCount="18" xr:uid="{C15A073B-5684-4419-A57F-8334DC635BFA}">
  <cacheSource type="worksheet">
    <worksheetSource ref="A1:F19" sheet="evaluation_all_k (2)"/>
  </cacheSource>
  <cacheFields count="6">
    <cacheField name="Method" numFmtId="0">
      <sharedItems count="3">
        <s v="K-Means"/>
        <s v="DTW K-Means"/>
        <s v="K-Shape"/>
      </sharedItems>
    </cacheField>
    <cacheField name="K" numFmtId="0">
      <sharedItems containsSemiMixedTypes="0" containsString="0" containsNumber="1" containsInteger="1" minValue="2" maxValue="7" count="6">
        <n v="2"/>
        <n v="3"/>
        <n v="4"/>
        <n v="5"/>
        <n v="6"/>
        <n v="7"/>
      </sharedItems>
    </cacheField>
    <cacheField name="WCSS" numFmtId="0">
      <sharedItems containsSemiMixedTypes="0" containsString="0" containsNumber="1" minValue="767.86180000000002" maxValue="2661.1334999999999" count="18">
        <n v="2019.8190999999999"/>
        <n v="2126.6359000000002"/>
        <n v="2661.1334999999999"/>
        <n v="1414.691"/>
        <n v="1553.0118"/>
        <n v="2573.3834999999999"/>
        <n v="1121.4309000000001"/>
        <n v="1241.9739"/>
        <n v="2314.5956999999999"/>
        <n v="968.11699999999996"/>
        <n v="1183.5378000000001"/>
        <n v="1838.7366999999999"/>
        <n v="846.92499999999995"/>
        <n v="1107.8040000000001"/>
        <n v="1754.2637999999999"/>
        <n v="767.86180000000002"/>
        <n v="1074.1202000000001"/>
        <n v="1668.6854000000001"/>
      </sharedItems>
    </cacheField>
    <cacheField name="Silhouette" numFmtId="0">
      <sharedItems containsSemiMixedTypes="0" containsString="0" containsNumber="1" minValue="2.9399999999999999E-2" maxValue="0.33479999999999999"/>
    </cacheField>
    <cacheField name="DB_Index" numFmtId="0">
      <sharedItems containsSemiMixedTypes="0" containsString="0" containsNumber="1" minValue="1.0563" maxValue="5.2378"/>
    </cacheField>
    <cacheField name="Dunn_Index" numFmtId="0">
      <sharedItems containsSemiMixedTypes="0" containsString="0" containsNumber="1" minValue="0.12280000000000001" maxValue="0.5365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0.27589999999999998"/>
    <n v="1.5627"/>
    <n v="0.4955"/>
  </r>
  <r>
    <x v="1"/>
    <x v="0"/>
    <x v="1"/>
    <n v="0.22700000000000001"/>
    <n v="1.7305999999999999"/>
    <n v="0.46089999999999998"/>
  </r>
  <r>
    <x v="2"/>
    <x v="0"/>
    <x v="2"/>
    <n v="7.0199999999999999E-2"/>
    <n v="4.1700999999999997"/>
    <n v="0.21460000000000001"/>
  </r>
  <r>
    <x v="0"/>
    <x v="1"/>
    <x v="3"/>
    <n v="0.32540000000000002"/>
    <n v="1.1556"/>
    <n v="0.53449999999999998"/>
  </r>
  <r>
    <x v="1"/>
    <x v="1"/>
    <x v="4"/>
    <n v="0.28449999999999998"/>
    <n v="1.2484999999999999"/>
    <n v="0.53659999999999997"/>
  </r>
  <r>
    <x v="2"/>
    <x v="1"/>
    <x v="5"/>
    <n v="2.9399999999999999E-2"/>
    <n v="5.2378"/>
    <n v="0.15809999999999999"/>
  </r>
  <r>
    <x v="0"/>
    <x v="2"/>
    <x v="6"/>
    <n v="0.33479999999999999"/>
    <n v="1.0807"/>
    <n v="0.52129999999999999"/>
  </r>
  <r>
    <x v="1"/>
    <x v="2"/>
    <x v="7"/>
    <n v="0.28910000000000002"/>
    <n v="1.2198"/>
    <n v="0.43690000000000001"/>
  </r>
  <r>
    <x v="2"/>
    <x v="2"/>
    <x v="8"/>
    <n v="3.4000000000000002E-2"/>
    <n v="4.9105999999999996"/>
    <n v="0.12280000000000001"/>
  </r>
  <r>
    <x v="0"/>
    <x v="3"/>
    <x v="9"/>
    <n v="0.311"/>
    <n v="1.1414"/>
    <n v="0.42720000000000002"/>
  </r>
  <r>
    <x v="1"/>
    <x v="3"/>
    <x v="10"/>
    <n v="0.2351"/>
    <n v="1.4706999999999999"/>
    <n v="0.32740000000000002"/>
  </r>
  <r>
    <x v="2"/>
    <x v="3"/>
    <x v="11"/>
    <n v="0.10050000000000001"/>
    <n v="2.6168"/>
    <n v="0.2021"/>
  </r>
  <r>
    <x v="0"/>
    <x v="4"/>
    <x v="12"/>
    <n v="0.31090000000000001"/>
    <n v="1.0848"/>
    <n v="0.43990000000000001"/>
  </r>
  <r>
    <x v="1"/>
    <x v="4"/>
    <x v="13"/>
    <n v="0.23039999999999999"/>
    <n v="1.5129999999999999"/>
    <n v="0.35610000000000003"/>
  </r>
  <r>
    <x v="2"/>
    <x v="4"/>
    <x v="14"/>
    <n v="8.5500000000000007E-2"/>
    <n v="2.83"/>
    <n v="0.16539999999999999"/>
  </r>
  <r>
    <x v="0"/>
    <x v="5"/>
    <x v="15"/>
    <n v="0.30709999999999998"/>
    <n v="1.0563"/>
    <n v="0.41689999999999999"/>
  </r>
  <r>
    <x v="1"/>
    <x v="5"/>
    <x v="16"/>
    <n v="0.21190000000000001"/>
    <n v="1.7598"/>
    <n v="0.26850000000000002"/>
  </r>
  <r>
    <x v="2"/>
    <x v="5"/>
    <x v="17"/>
    <n v="9.4600000000000004E-2"/>
    <n v="2.7833000000000001"/>
    <n v="0.1907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E7B88-8F79-4CBC-9A76-5951A49428D4}" name="PivotTable2" cacheId="7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2" firstHeaderRow="1" firstDataRow="3" firstDataCol="1"/>
  <pivotFields count="6">
    <pivotField axis="axisCol" showAll="0">
      <items count="4">
        <item x="1"/>
        <item x="0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19">
        <item x="15"/>
        <item x="12"/>
        <item x="9"/>
        <item x="16"/>
        <item x="13"/>
        <item x="6"/>
        <item x="10"/>
        <item x="7"/>
        <item x="3"/>
        <item x="4"/>
        <item x="17"/>
        <item x="14"/>
        <item x="11"/>
        <item x="0"/>
        <item x="1"/>
        <item x="8"/>
        <item x="5"/>
        <item x="2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0"/>
  </colFields>
  <colItems count="16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i="3">
      <x v="3"/>
      <x/>
    </i>
    <i r="1" i="3">
      <x v="1"/>
    </i>
    <i r="1" i="3">
      <x v="2"/>
    </i>
    <i t="grand">
      <x/>
    </i>
    <i t="grand" i="1">
      <x/>
    </i>
    <i t="grand" i="2">
      <x/>
    </i>
    <i t="grand" i="3">
      <x/>
    </i>
  </colItems>
  <dataFields count="4">
    <dataField name="Sum of WCSS" fld="2" baseField="0" baseItem="0"/>
    <dataField name="Sum of Silhouette" fld="3" baseField="0" baseItem="0"/>
    <dataField name="Sum of DB_Index" fld="4" baseField="0" baseItem="0"/>
    <dataField name="Sum of Dunn_Index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2DA6D-71F1-45B6-A777-296BEF0A49ED}" name="Table1" displayName="Table1" ref="A1:M9" totalsRowShown="0">
  <autoFilter ref="A1:M9" xr:uid="{9952DA6D-71F1-45B6-A777-296BEF0A49ED}"/>
  <tableColumns count="13">
    <tableColumn id="1" xr3:uid="{36A0C073-8D14-47E5-9E89-2775B29C2CC8}" name="Config"/>
    <tableColumn id="2" xr3:uid="{8D473A9D-F66C-4E2F-B184-0C00F9D2699A}" name="Algorithm"/>
    <tableColumn id="3" xr3:uid="{2D54245B-3326-4555-8D30-C7EA3328502B}" name="N_Features"/>
    <tableColumn id="4" xr3:uid="{16E71D49-9B44-42B2-8C7C-8FBEF43C65ED}" name="Split"/>
    <tableColumn id="5" xr3:uid="{2E6A92EA-EA1D-4709-A6F5-4B4A314ED9B0}" name="Train_R2"/>
    <tableColumn id="6" xr3:uid="{A905184A-EFB1-4D86-80CD-8DB35DF7A6D4}" name="Train_Adj_R2"/>
    <tableColumn id="7" xr3:uid="{2067C80E-E7F3-4A23-A330-E110265AD560}" name="Test_R2"/>
    <tableColumn id="8" xr3:uid="{1CBBEDF6-3940-4272-AF5A-72567AE39C81}" name="Test_Adj_R2"/>
    <tableColumn id="9" xr3:uid="{8F21DA70-90C6-46F0-A8DE-7C8AD29AB961}" name="Test_RMSE"/>
    <tableColumn id="10" xr3:uid="{4DF4FD9F-39D6-45EF-8BF5-5499439F4441}" name="Test_MAE"/>
    <tableColumn id="11" xr3:uid="{19F45E75-F609-4647-9A14-0AD9B5BCC371}" name="Test_MAPE" dataDxfId="0"/>
    <tableColumn id="12" xr3:uid="{67A47030-57A4-4E0D-9CD7-2F46D962B99E}" name="CV_R2_Mean"/>
    <tableColumn id="13" xr3:uid="{4CC14054-3DD0-40C7-AB04-205817827871}" name="CV_R2_St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5725-39C7-4D7D-92CC-52B224261310}">
  <dimension ref="A3:Q12"/>
  <sheetViews>
    <sheetView workbookViewId="0">
      <selection activeCell="A4" sqref="A4:M11"/>
    </sheetView>
  </sheetViews>
  <sheetFormatPr defaultRowHeight="14.25" x14ac:dyDescent="0.45"/>
  <cols>
    <col min="1" max="1" width="11.9296875" bestFit="1" customWidth="1"/>
    <col min="2" max="2" width="14.73046875" bestFit="1" customWidth="1"/>
    <col min="3" max="3" width="9.73046875" bestFit="1" customWidth="1"/>
    <col min="4" max="4" width="10.73046875" bestFit="1" customWidth="1"/>
    <col min="5" max="5" width="14.9296875" bestFit="1" customWidth="1"/>
    <col min="6" max="6" width="7.59765625" bestFit="1" customWidth="1"/>
    <col min="7" max="7" width="7.3984375" bestFit="1" customWidth="1"/>
    <col min="8" max="8" width="14.1328125" bestFit="1" customWidth="1"/>
    <col min="9" max="9" width="7.59765625" bestFit="1" customWidth="1"/>
    <col min="10" max="10" width="7.73046875" bestFit="1" customWidth="1"/>
    <col min="11" max="11" width="16.06640625" bestFit="1" customWidth="1"/>
    <col min="12" max="12" width="7.59765625" bestFit="1" customWidth="1"/>
    <col min="13" max="13" width="7.3984375" bestFit="1" customWidth="1"/>
    <col min="14" max="14" width="15.86328125" bestFit="1" customWidth="1"/>
    <col min="15" max="15" width="19.265625" bestFit="1" customWidth="1"/>
    <col min="16" max="16" width="18.46484375" bestFit="1" customWidth="1"/>
    <col min="17" max="17" width="20.3984375" bestFit="1" customWidth="1"/>
    <col min="18" max="19" width="9.73046875" bestFit="1" customWidth="1"/>
    <col min="20" max="20" width="9.86328125" bestFit="1" customWidth="1"/>
  </cols>
  <sheetData>
    <row r="3" spans="1:17" x14ac:dyDescent="0.45">
      <c r="B3" s="1" t="s">
        <v>15</v>
      </c>
    </row>
    <row r="4" spans="1:17" x14ac:dyDescent="0.45">
      <c r="B4" t="s">
        <v>10</v>
      </c>
      <c r="E4" t="s">
        <v>12</v>
      </c>
      <c r="H4" t="s">
        <v>13</v>
      </c>
      <c r="K4" t="s">
        <v>14</v>
      </c>
      <c r="N4" t="s">
        <v>16</v>
      </c>
      <c r="O4" t="s">
        <v>17</v>
      </c>
      <c r="P4" t="s">
        <v>18</v>
      </c>
      <c r="Q4" t="s">
        <v>19</v>
      </c>
    </row>
    <row r="5" spans="1:17" x14ac:dyDescent="0.45">
      <c r="A5" s="1" t="s">
        <v>9</v>
      </c>
      <c r="B5" t="s">
        <v>7</v>
      </c>
      <c r="C5" t="s">
        <v>6</v>
      </c>
      <c r="D5" t="s">
        <v>8</v>
      </c>
      <c r="E5" t="s">
        <v>7</v>
      </c>
      <c r="F5" t="s">
        <v>6</v>
      </c>
      <c r="G5" t="s">
        <v>8</v>
      </c>
      <c r="H5" t="s">
        <v>7</v>
      </c>
      <c r="I5" t="s">
        <v>6</v>
      </c>
      <c r="J5" t="s">
        <v>8</v>
      </c>
      <c r="K5" t="s">
        <v>7</v>
      </c>
      <c r="L5" t="s">
        <v>6</v>
      </c>
      <c r="M5" t="s">
        <v>8</v>
      </c>
    </row>
    <row r="6" spans="1:17" x14ac:dyDescent="0.45">
      <c r="A6" s="2">
        <v>2</v>
      </c>
      <c r="B6" s="3">
        <v>2126.6359000000002</v>
      </c>
      <c r="C6" s="3">
        <v>2019.8190999999999</v>
      </c>
      <c r="D6" s="3">
        <v>2661.1334999999999</v>
      </c>
      <c r="E6" s="3">
        <v>0.22700000000000001</v>
      </c>
      <c r="F6" s="3">
        <v>0.27589999999999998</v>
      </c>
      <c r="G6" s="3">
        <v>7.0199999999999999E-2</v>
      </c>
      <c r="H6" s="3">
        <v>1.7305999999999999</v>
      </c>
      <c r="I6" s="3">
        <v>1.5627</v>
      </c>
      <c r="J6" s="3">
        <v>4.1700999999999997</v>
      </c>
      <c r="K6" s="3">
        <v>0.46089999999999998</v>
      </c>
      <c r="L6" s="3">
        <v>0.4955</v>
      </c>
      <c r="M6" s="3">
        <v>0.21460000000000001</v>
      </c>
      <c r="N6" s="3">
        <v>6807.5884999999998</v>
      </c>
      <c r="O6" s="3">
        <v>0.57310000000000005</v>
      </c>
      <c r="P6" s="3">
        <v>7.4634</v>
      </c>
      <c r="Q6" s="3">
        <v>1.1709999999999998</v>
      </c>
    </row>
    <row r="7" spans="1:17" x14ac:dyDescent="0.45">
      <c r="A7" s="2">
        <v>3</v>
      </c>
      <c r="B7" s="3">
        <v>1553.0118</v>
      </c>
      <c r="C7" s="3">
        <v>1414.691</v>
      </c>
      <c r="D7" s="3">
        <v>2573.3834999999999</v>
      </c>
      <c r="E7" s="3">
        <v>0.28449999999999998</v>
      </c>
      <c r="F7" s="3">
        <v>0.32540000000000002</v>
      </c>
      <c r="G7" s="3">
        <v>2.9399999999999999E-2</v>
      </c>
      <c r="H7" s="3">
        <v>1.2484999999999999</v>
      </c>
      <c r="I7" s="3">
        <v>1.1556</v>
      </c>
      <c r="J7" s="3">
        <v>5.2378</v>
      </c>
      <c r="K7" s="3">
        <v>0.53659999999999997</v>
      </c>
      <c r="L7" s="3">
        <v>0.53449999999999998</v>
      </c>
      <c r="M7" s="3">
        <v>0.15809999999999999</v>
      </c>
      <c r="N7" s="3">
        <v>5541.0862999999999</v>
      </c>
      <c r="O7" s="3">
        <v>0.63929999999999998</v>
      </c>
      <c r="P7" s="3">
        <v>7.6418999999999997</v>
      </c>
      <c r="Q7" s="3">
        <v>1.2291999999999998</v>
      </c>
    </row>
    <row r="8" spans="1:17" x14ac:dyDescent="0.45">
      <c r="A8" s="2">
        <v>4</v>
      </c>
      <c r="B8" s="3">
        <v>1241.9739</v>
      </c>
      <c r="C8" s="3">
        <v>1121.4309000000001</v>
      </c>
      <c r="D8" s="3">
        <v>2314.5956999999999</v>
      </c>
      <c r="E8" s="3">
        <v>0.28910000000000002</v>
      </c>
      <c r="F8" s="3">
        <v>0.33479999999999999</v>
      </c>
      <c r="G8" s="3">
        <v>3.4000000000000002E-2</v>
      </c>
      <c r="H8" s="3">
        <v>1.2198</v>
      </c>
      <c r="I8" s="3">
        <v>1.0807</v>
      </c>
      <c r="J8" s="3">
        <v>4.9105999999999996</v>
      </c>
      <c r="K8" s="3">
        <v>0.43690000000000001</v>
      </c>
      <c r="L8" s="3">
        <v>0.52129999999999999</v>
      </c>
      <c r="M8" s="3">
        <v>0.12280000000000001</v>
      </c>
      <c r="N8" s="3">
        <v>4678.0005000000001</v>
      </c>
      <c r="O8" s="3">
        <v>0.65790000000000004</v>
      </c>
      <c r="P8" s="3">
        <v>7.2111000000000001</v>
      </c>
      <c r="Q8" s="3">
        <v>1.081</v>
      </c>
    </row>
    <row r="9" spans="1:17" x14ac:dyDescent="0.45">
      <c r="A9" s="2">
        <v>5</v>
      </c>
      <c r="B9" s="3">
        <v>1183.5378000000001</v>
      </c>
      <c r="C9" s="3">
        <v>968.11699999999996</v>
      </c>
      <c r="D9" s="3">
        <v>1838.7366999999999</v>
      </c>
      <c r="E9" s="3">
        <v>0.2351</v>
      </c>
      <c r="F9" s="3">
        <v>0.311</v>
      </c>
      <c r="G9" s="3">
        <v>0.10050000000000001</v>
      </c>
      <c r="H9" s="3">
        <v>1.4706999999999999</v>
      </c>
      <c r="I9" s="3">
        <v>1.1414</v>
      </c>
      <c r="J9" s="3">
        <v>2.6168</v>
      </c>
      <c r="K9" s="3">
        <v>0.32740000000000002</v>
      </c>
      <c r="L9" s="3">
        <v>0.42720000000000002</v>
      </c>
      <c r="M9" s="3">
        <v>0.2021</v>
      </c>
      <c r="N9" s="3">
        <v>3990.3915000000002</v>
      </c>
      <c r="O9" s="3">
        <v>0.64660000000000006</v>
      </c>
      <c r="P9" s="3">
        <v>5.2288999999999994</v>
      </c>
      <c r="Q9" s="3">
        <v>0.95670000000000011</v>
      </c>
    </row>
    <row r="10" spans="1:17" x14ac:dyDescent="0.45">
      <c r="A10" s="2">
        <v>6</v>
      </c>
      <c r="B10" s="3">
        <v>1107.8040000000001</v>
      </c>
      <c r="C10" s="3">
        <v>846.92499999999995</v>
      </c>
      <c r="D10" s="3">
        <v>1754.2637999999999</v>
      </c>
      <c r="E10" s="3">
        <v>0.23039999999999999</v>
      </c>
      <c r="F10" s="3">
        <v>0.31090000000000001</v>
      </c>
      <c r="G10" s="3">
        <v>8.5500000000000007E-2</v>
      </c>
      <c r="H10" s="3">
        <v>1.5129999999999999</v>
      </c>
      <c r="I10" s="3">
        <v>1.0848</v>
      </c>
      <c r="J10" s="3">
        <v>2.83</v>
      </c>
      <c r="K10" s="3">
        <v>0.35610000000000003</v>
      </c>
      <c r="L10" s="3">
        <v>0.43990000000000001</v>
      </c>
      <c r="M10" s="3">
        <v>0.16539999999999999</v>
      </c>
      <c r="N10" s="3">
        <v>3708.9928</v>
      </c>
      <c r="O10" s="3">
        <v>0.62680000000000002</v>
      </c>
      <c r="P10" s="3">
        <v>5.4277999999999995</v>
      </c>
      <c r="Q10" s="3">
        <v>0.96140000000000003</v>
      </c>
    </row>
    <row r="11" spans="1:17" x14ac:dyDescent="0.45">
      <c r="A11" s="2">
        <v>7</v>
      </c>
      <c r="B11" s="3">
        <v>1074.1202000000001</v>
      </c>
      <c r="C11" s="3">
        <v>767.86180000000002</v>
      </c>
      <c r="D11" s="3">
        <v>1668.6854000000001</v>
      </c>
      <c r="E11" s="3">
        <v>0.21190000000000001</v>
      </c>
      <c r="F11" s="3">
        <v>0.30709999999999998</v>
      </c>
      <c r="G11" s="3">
        <v>9.4600000000000004E-2</v>
      </c>
      <c r="H11" s="3">
        <v>1.7598</v>
      </c>
      <c r="I11" s="3">
        <v>1.0563</v>
      </c>
      <c r="J11" s="3">
        <v>2.7833000000000001</v>
      </c>
      <c r="K11" s="3">
        <v>0.26850000000000002</v>
      </c>
      <c r="L11" s="3">
        <v>0.41689999999999999</v>
      </c>
      <c r="M11" s="3">
        <v>0.19070000000000001</v>
      </c>
      <c r="N11" s="3">
        <v>3510.6674000000003</v>
      </c>
      <c r="O11" s="3">
        <v>0.61360000000000003</v>
      </c>
      <c r="P11" s="3">
        <v>5.5994000000000002</v>
      </c>
      <c r="Q11" s="3">
        <v>0.87609999999999999</v>
      </c>
    </row>
    <row r="12" spans="1:17" x14ac:dyDescent="0.45">
      <c r="A12" s="2" t="s">
        <v>11</v>
      </c>
      <c r="B12" s="3">
        <v>8287.0835999999999</v>
      </c>
      <c r="C12" s="3">
        <v>7138.8447999999999</v>
      </c>
      <c r="D12" s="3">
        <v>12810.7986</v>
      </c>
      <c r="E12" s="3">
        <v>1.478</v>
      </c>
      <c r="F12" s="3">
        <v>1.8650999999999998</v>
      </c>
      <c r="G12" s="3">
        <v>0.41420000000000001</v>
      </c>
      <c r="H12" s="3">
        <v>8.9423999999999992</v>
      </c>
      <c r="I12" s="3">
        <v>7.0815000000000001</v>
      </c>
      <c r="J12" s="3">
        <v>22.548600000000004</v>
      </c>
      <c r="K12" s="3">
        <v>2.3864000000000001</v>
      </c>
      <c r="L12" s="3">
        <v>2.8353000000000002</v>
      </c>
      <c r="M12" s="3">
        <v>1.0537000000000001</v>
      </c>
      <c r="N12" s="3">
        <v>28236.727000000006</v>
      </c>
      <c r="O12" s="3">
        <v>3.7573000000000008</v>
      </c>
      <c r="P12" s="3">
        <v>38.572500000000005</v>
      </c>
      <c r="Q12" s="3">
        <v>6.2754000000000003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310A-226B-475C-AB5A-73E33C85EC2B}">
  <dimension ref="A1:M8"/>
  <sheetViews>
    <sheetView workbookViewId="0">
      <selection activeCell="G15" sqref="G15"/>
    </sheetView>
  </sheetViews>
  <sheetFormatPr defaultRowHeight="14.25" x14ac:dyDescent="0.45"/>
  <cols>
    <col min="1" max="1" width="3.19921875" bestFit="1" customWidth="1"/>
    <col min="2" max="4" width="10.265625" bestFit="1" customWidth="1"/>
    <col min="5" max="13" width="7.265625" bestFit="1" customWidth="1"/>
  </cols>
  <sheetData>
    <row r="1" spans="1:13" x14ac:dyDescent="0.45">
      <c r="A1" s="9" t="s">
        <v>20</v>
      </c>
      <c r="B1" s="5" t="s">
        <v>2</v>
      </c>
      <c r="C1" s="5"/>
      <c r="D1" s="5"/>
      <c r="E1" s="5" t="s">
        <v>21</v>
      </c>
      <c r="F1" s="5"/>
      <c r="G1" s="5"/>
      <c r="H1" s="5" t="s">
        <v>22</v>
      </c>
      <c r="I1" s="5"/>
      <c r="J1" s="5"/>
      <c r="K1" s="5" t="s">
        <v>23</v>
      </c>
      <c r="L1" s="5"/>
      <c r="M1" s="5"/>
    </row>
    <row r="2" spans="1:13" ht="64.5" x14ac:dyDescent="0.45">
      <c r="A2" s="9"/>
      <c r="B2" s="8" t="s">
        <v>7</v>
      </c>
      <c r="C2" s="8" t="s">
        <v>6</v>
      </c>
      <c r="D2" s="8" t="s">
        <v>8</v>
      </c>
      <c r="E2" s="8" t="s">
        <v>7</v>
      </c>
      <c r="F2" s="8" t="s">
        <v>6</v>
      </c>
      <c r="G2" s="8" t="s">
        <v>8</v>
      </c>
      <c r="H2" s="8" t="s">
        <v>7</v>
      </c>
      <c r="I2" s="8" t="s">
        <v>6</v>
      </c>
      <c r="J2" s="8" t="s">
        <v>8</v>
      </c>
      <c r="K2" s="8" t="s">
        <v>7</v>
      </c>
      <c r="L2" s="8" t="s">
        <v>6</v>
      </c>
      <c r="M2" s="8" t="s">
        <v>8</v>
      </c>
    </row>
    <row r="3" spans="1:13" x14ac:dyDescent="0.45">
      <c r="A3" s="6">
        <v>2</v>
      </c>
      <c r="B3" s="7">
        <v>2126.6359000000002</v>
      </c>
      <c r="C3" s="7">
        <v>2019.8190999999999</v>
      </c>
      <c r="D3" s="7">
        <v>2661.1334999999999</v>
      </c>
      <c r="E3" s="7">
        <v>0.22700000000000001</v>
      </c>
      <c r="F3" s="7">
        <v>0.27589999999999998</v>
      </c>
      <c r="G3" s="7">
        <v>7.0199999999999999E-2</v>
      </c>
      <c r="H3" s="7">
        <v>1.7305999999999999</v>
      </c>
      <c r="I3" s="7">
        <v>1.5627</v>
      </c>
      <c r="J3" s="7">
        <v>4.1700999999999997</v>
      </c>
      <c r="K3" s="7">
        <v>0.46089999999999998</v>
      </c>
      <c r="L3" s="7">
        <v>0.4955</v>
      </c>
      <c r="M3" s="7">
        <v>0.21460000000000001</v>
      </c>
    </row>
    <row r="4" spans="1:13" x14ac:dyDescent="0.45">
      <c r="A4" s="6">
        <v>3</v>
      </c>
      <c r="B4" s="7">
        <v>1553.0118</v>
      </c>
      <c r="C4" s="7">
        <v>1414.691</v>
      </c>
      <c r="D4" s="7">
        <v>2573.3834999999999</v>
      </c>
      <c r="E4" s="7">
        <v>0.28449999999999998</v>
      </c>
      <c r="F4" s="7">
        <v>0.32540000000000002</v>
      </c>
      <c r="G4" s="7">
        <v>2.9399999999999999E-2</v>
      </c>
      <c r="H4" s="7">
        <v>1.2484999999999999</v>
      </c>
      <c r="I4" s="7">
        <v>1.1556</v>
      </c>
      <c r="J4" s="7">
        <v>5.2378</v>
      </c>
      <c r="K4" s="7">
        <v>0.53659999999999997</v>
      </c>
      <c r="L4" s="7">
        <v>0.53449999999999998</v>
      </c>
      <c r="M4" s="7">
        <v>0.15809999999999999</v>
      </c>
    </row>
    <row r="5" spans="1:13" x14ac:dyDescent="0.45">
      <c r="A5" s="6">
        <v>4</v>
      </c>
      <c r="B5" s="7">
        <v>1241.9739</v>
      </c>
      <c r="C5" s="7">
        <v>1121.4309000000001</v>
      </c>
      <c r="D5" s="7">
        <v>2314.5956999999999</v>
      </c>
      <c r="E5" s="7">
        <v>0.28910000000000002</v>
      </c>
      <c r="F5" s="7">
        <v>0.33479999999999999</v>
      </c>
      <c r="G5" s="7">
        <v>3.4000000000000002E-2</v>
      </c>
      <c r="H5" s="7">
        <v>1.2198</v>
      </c>
      <c r="I5" s="7">
        <v>1.0807</v>
      </c>
      <c r="J5" s="7">
        <v>4.9105999999999996</v>
      </c>
      <c r="K5" s="7">
        <v>0.43690000000000001</v>
      </c>
      <c r="L5" s="7">
        <v>0.52129999999999999</v>
      </c>
      <c r="M5" s="7">
        <v>0.12280000000000001</v>
      </c>
    </row>
    <row r="6" spans="1:13" x14ac:dyDescent="0.45">
      <c r="A6" s="6">
        <v>5</v>
      </c>
      <c r="B6" s="7">
        <v>1183.5378000000001</v>
      </c>
      <c r="C6" s="7">
        <v>968.11699999999996</v>
      </c>
      <c r="D6" s="7">
        <v>1838.7366999999999</v>
      </c>
      <c r="E6" s="7">
        <v>0.2351</v>
      </c>
      <c r="F6" s="7">
        <v>0.311</v>
      </c>
      <c r="G6" s="7">
        <v>0.10050000000000001</v>
      </c>
      <c r="H6" s="7">
        <v>1.4706999999999999</v>
      </c>
      <c r="I6" s="7">
        <v>1.1414</v>
      </c>
      <c r="J6" s="7">
        <v>2.6168</v>
      </c>
      <c r="K6" s="7">
        <v>0.32740000000000002</v>
      </c>
      <c r="L6" s="7">
        <v>0.42720000000000002</v>
      </c>
      <c r="M6" s="7">
        <v>0.2021</v>
      </c>
    </row>
    <row r="7" spans="1:13" x14ac:dyDescent="0.45">
      <c r="A7" s="6">
        <v>6</v>
      </c>
      <c r="B7" s="7">
        <v>1107.8040000000001</v>
      </c>
      <c r="C7" s="7">
        <v>846.92499999999995</v>
      </c>
      <c r="D7" s="7">
        <v>1754.2637999999999</v>
      </c>
      <c r="E7" s="7">
        <v>0.23039999999999999</v>
      </c>
      <c r="F7" s="7">
        <v>0.31090000000000001</v>
      </c>
      <c r="G7" s="7">
        <v>8.5500000000000007E-2</v>
      </c>
      <c r="H7" s="7">
        <v>1.5129999999999999</v>
      </c>
      <c r="I7" s="7">
        <v>1.0848</v>
      </c>
      <c r="J7" s="7">
        <v>2.83</v>
      </c>
      <c r="K7" s="7">
        <v>0.35610000000000003</v>
      </c>
      <c r="L7" s="7">
        <v>0.43990000000000001</v>
      </c>
      <c r="M7" s="7">
        <v>0.16539999999999999</v>
      </c>
    </row>
    <row r="8" spans="1:13" x14ac:dyDescent="0.45">
      <c r="A8" s="6">
        <v>7</v>
      </c>
      <c r="B8" s="7">
        <v>1074.1202000000001</v>
      </c>
      <c r="C8" s="7">
        <v>767.86180000000002</v>
      </c>
      <c r="D8" s="7">
        <v>1668.6854000000001</v>
      </c>
      <c r="E8" s="7">
        <v>0.21190000000000001</v>
      </c>
      <c r="F8" s="7">
        <v>0.30709999999999998</v>
      </c>
      <c r="G8" s="7">
        <v>9.4600000000000004E-2</v>
      </c>
      <c r="H8" s="7">
        <v>1.7598</v>
      </c>
      <c r="I8" s="7">
        <v>1.0563</v>
      </c>
      <c r="J8" s="7">
        <v>2.7833000000000001</v>
      </c>
      <c r="K8" s="7">
        <v>0.26850000000000002</v>
      </c>
      <c r="L8" s="7">
        <v>0.41689999999999999</v>
      </c>
      <c r="M8" s="7">
        <v>0.19070000000000001</v>
      </c>
    </row>
  </sheetData>
  <mergeCells count="5">
    <mergeCell ref="B1:D1"/>
    <mergeCell ref="E1:G1"/>
    <mergeCell ref="H1:J1"/>
    <mergeCell ref="K1:M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D393-1F33-49C4-9875-1B1835376E63}">
  <dimension ref="A1:D5"/>
  <sheetViews>
    <sheetView workbookViewId="0">
      <selection activeCell="D5" sqref="A1:D5"/>
    </sheetView>
  </sheetViews>
  <sheetFormatPr defaultRowHeight="14.25" x14ac:dyDescent="0.45"/>
  <cols>
    <col min="1" max="1" width="3" bestFit="1" customWidth="1"/>
    <col min="2" max="2" width="10.796875" bestFit="1" customWidth="1"/>
    <col min="3" max="3" width="54.73046875" bestFit="1" customWidth="1"/>
    <col min="4" max="4" width="50.33203125" bestFit="1" customWidth="1"/>
  </cols>
  <sheetData>
    <row r="1" spans="1:4" x14ac:dyDescent="0.45">
      <c r="A1" t="s">
        <v>24</v>
      </c>
      <c r="B1" t="s">
        <v>25</v>
      </c>
      <c r="C1" t="s">
        <v>26</v>
      </c>
      <c r="D1" t="s">
        <v>27</v>
      </c>
    </row>
    <row r="2" spans="1:4" x14ac:dyDescent="0.45">
      <c r="A2">
        <v>1</v>
      </c>
      <c r="B2" t="s">
        <v>28</v>
      </c>
      <c r="C2" t="s">
        <v>29</v>
      </c>
      <c r="D2" t="s">
        <v>30</v>
      </c>
    </row>
    <row r="3" spans="1:4" x14ac:dyDescent="0.45">
      <c r="A3">
        <v>2</v>
      </c>
      <c r="B3" t="s">
        <v>31</v>
      </c>
      <c r="C3" t="s">
        <v>32</v>
      </c>
      <c r="D3" t="s">
        <v>33</v>
      </c>
    </row>
    <row r="4" spans="1:4" x14ac:dyDescent="0.45">
      <c r="A4">
        <v>3</v>
      </c>
      <c r="B4" t="s">
        <v>34</v>
      </c>
      <c r="C4" t="s">
        <v>35</v>
      </c>
      <c r="D4" t="s">
        <v>36</v>
      </c>
    </row>
    <row r="5" spans="1:4" x14ac:dyDescent="0.45">
      <c r="A5">
        <v>4</v>
      </c>
      <c r="B5" t="s">
        <v>37</v>
      </c>
      <c r="C5" t="s">
        <v>38</v>
      </c>
      <c r="D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FA57-423D-404A-BC43-1F8E520ABCFC}">
  <dimension ref="A1:S24"/>
  <sheetViews>
    <sheetView topLeftCell="F1" workbookViewId="0">
      <selection activeCell="A11" sqref="A11:XFD26"/>
    </sheetView>
  </sheetViews>
  <sheetFormatPr defaultRowHeight="14.25" x14ac:dyDescent="0.45"/>
  <cols>
    <col min="1" max="1" width="31.3984375" bestFit="1" customWidth="1"/>
    <col min="2" max="2" width="10.33203125" customWidth="1"/>
    <col min="3" max="3" width="11.6640625" customWidth="1"/>
    <col min="5" max="5" width="9.46484375" customWidth="1"/>
    <col min="6" max="6" width="12.796875" customWidth="1"/>
    <col min="8" max="8" width="12.19921875" customWidth="1"/>
    <col min="9" max="9" width="11.33203125" customWidth="1"/>
    <col min="10" max="10" width="10.19921875" customWidth="1"/>
    <col min="11" max="11" width="11.265625" customWidth="1"/>
    <col min="12" max="12" width="12.9296875" customWidth="1"/>
    <col min="13" max="13" width="11.265625" customWidth="1"/>
  </cols>
  <sheetData>
    <row r="1" spans="1:19" x14ac:dyDescent="0.4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9" x14ac:dyDescent="0.45">
      <c r="A2" t="s">
        <v>53</v>
      </c>
      <c r="B2" t="s">
        <v>54</v>
      </c>
      <c r="C2">
        <v>5</v>
      </c>
      <c r="D2" t="s">
        <v>55</v>
      </c>
      <c r="E2">
        <v>0.97570000000000001</v>
      </c>
      <c r="F2">
        <v>0.97540000000000004</v>
      </c>
      <c r="G2">
        <v>0.73919999999999997</v>
      </c>
      <c r="H2">
        <v>0.72850000000000004</v>
      </c>
      <c r="I2">
        <v>0.62170000000000003</v>
      </c>
      <c r="J2">
        <v>0.49630000000000002</v>
      </c>
      <c r="K2" s="10">
        <v>1.2800000000000001E-2</v>
      </c>
      <c r="L2">
        <v>0.81699999999999995</v>
      </c>
      <c r="M2">
        <v>3.0499999999999999E-2</v>
      </c>
    </row>
    <row r="3" spans="1:19" x14ac:dyDescent="0.45">
      <c r="A3" t="s">
        <v>53</v>
      </c>
      <c r="B3" t="s">
        <v>56</v>
      </c>
      <c r="C3">
        <v>5</v>
      </c>
      <c r="D3" t="s">
        <v>55</v>
      </c>
      <c r="E3">
        <v>0.8659</v>
      </c>
      <c r="F3">
        <v>0.86460000000000004</v>
      </c>
      <c r="G3">
        <v>0.75660000000000005</v>
      </c>
      <c r="H3">
        <v>0.74660000000000004</v>
      </c>
      <c r="I3">
        <v>0.60060000000000002</v>
      </c>
      <c r="J3">
        <v>0.46629999999999999</v>
      </c>
      <c r="K3" s="10">
        <v>1.2E-2</v>
      </c>
      <c r="L3">
        <v>0.81699999999999995</v>
      </c>
      <c r="M3">
        <v>4.0099999999999997E-2</v>
      </c>
    </row>
    <row r="4" spans="1:19" x14ac:dyDescent="0.45">
      <c r="A4" t="s">
        <v>57</v>
      </c>
      <c r="B4" t="s">
        <v>54</v>
      </c>
      <c r="C4">
        <v>5</v>
      </c>
      <c r="D4" t="s">
        <v>58</v>
      </c>
      <c r="E4">
        <v>0.97289999999999999</v>
      </c>
      <c r="F4">
        <v>0.97260000000000002</v>
      </c>
      <c r="G4">
        <v>0.7893</v>
      </c>
      <c r="H4">
        <v>0.78069999999999995</v>
      </c>
      <c r="I4">
        <v>0.57350000000000001</v>
      </c>
      <c r="J4">
        <v>0.43440000000000001</v>
      </c>
      <c r="K4" s="10">
        <v>1.12E-2</v>
      </c>
      <c r="L4">
        <v>0.80279999999999996</v>
      </c>
      <c r="M4">
        <v>5.9400000000000001E-2</v>
      </c>
    </row>
    <row r="5" spans="1:19" x14ac:dyDescent="0.45">
      <c r="A5" t="s">
        <v>57</v>
      </c>
      <c r="B5" t="s">
        <v>56</v>
      </c>
      <c r="C5">
        <v>5</v>
      </c>
      <c r="D5" t="s">
        <v>58</v>
      </c>
      <c r="E5">
        <v>0.89290000000000003</v>
      </c>
      <c r="F5">
        <v>0.89180000000000004</v>
      </c>
      <c r="G5">
        <v>0.76639999999999997</v>
      </c>
      <c r="H5">
        <v>0.75690000000000002</v>
      </c>
      <c r="I5">
        <v>0.60389999999999999</v>
      </c>
      <c r="J5">
        <v>0.43319999999999997</v>
      </c>
      <c r="K5" s="10">
        <v>1.12E-2</v>
      </c>
      <c r="L5">
        <v>0.79949999999999999</v>
      </c>
      <c r="M5">
        <v>5.28E-2</v>
      </c>
    </row>
    <row r="6" spans="1:19" x14ac:dyDescent="0.45">
      <c r="A6" t="s">
        <v>59</v>
      </c>
      <c r="B6" t="s">
        <v>54</v>
      </c>
      <c r="C6">
        <v>17</v>
      </c>
      <c r="D6" t="s">
        <v>55</v>
      </c>
      <c r="E6">
        <v>0.98009999999999997</v>
      </c>
      <c r="F6">
        <v>0.97940000000000005</v>
      </c>
      <c r="G6">
        <v>0.79210000000000003</v>
      </c>
      <c r="H6">
        <v>0.76</v>
      </c>
      <c r="I6">
        <v>0.55500000000000005</v>
      </c>
      <c r="J6">
        <v>0.42849999999999999</v>
      </c>
      <c r="K6" s="10">
        <v>1.11E-2</v>
      </c>
      <c r="L6">
        <v>0.84309999999999996</v>
      </c>
      <c r="M6">
        <v>2.8199999999999999E-2</v>
      </c>
    </row>
    <row r="7" spans="1:19" x14ac:dyDescent="0.45">
      <c r="A7" t="s">
        <v>59</v>
      </c>
      <c r="B7" t="s">
        <v>56</v>
      </c>
      <c r="C7">
        <v>17</v>
      </c>
      <c r="D7" t="s">
        <v>55</v>
      </c>
      <c r="E7">
        <v>0.96179999999999999</v>
      </c>
      <c r="F7">
        <v>0.96040000000000003</v>
      </c>
      <c r="G7">
        <v>0.82499999999999996</v>
      </c>
      <c r="H7">
        <v>0.79790000000000005</v>
      </c>
      <c r="I7">
        <v>0.50929999999999997</v>
      </c>
      <c r="J7">
        <v>0.37490000000000001</v>
      </c>
      <c r="K7" s="10">
        <v>9.7000000000000003E-3</v>
      </c>
      <c r="L7">
        <v>0.8518</v>
      </c>
      <c r="M7">
        <v>3.1199999999999999E-2</v>
      </c>
    </row>
    <row r="8" spans="1:19" x14ac:dyDescent="0.45">
      <c r="A8" t="s">
        <v>60</v>
      </c>
      <c r="B8" t="s">
        <v>54</v>
      </c>
      <c r="C8">
        <v>17</v>
      </c>
      <c r="D8" t="s">
        <v>58</v>
      </c>
      <c r="E8">
        <v>0.97650000000000003</v>
      </c>
      <c r="F8">
        <v>0.97570000000000001</v>
      </c>
      <c r="G8">
        <v>0.83399999999999996</v>
      </c>
      <c r="H8">
        <v>0.80830000000000002</v>
      </c>
      <c r="I8">
        <v>0.50919999999999999</v>
      </c>
      <c r="J8">
        <v>0.38400000000000001</v>
      </c>
      <c r="K8" s="10">
        <v>9.9000000000000008E-3</v>
      </c>
      <c r="L8">
        <v>0.84389999999999998</v>
      </c>
      <c r="M8">
        <v>3.8899999999999997E-2</v>
      </c>
    </row>
    <row r="9" spans="1:19" x14ac:dyDescent="0.45">
      <c r="A9" t="s">
        <v>60</v>
      </c>
      <c r="B9" t="s">
        <v>56</v>
      </c>
      <c r="C9">
        <v>17</v>
      </c>
      <c r="D9" t="s">
        <v>58</v>
      </c>
      <c r="E9">
        <v>0.9768</v>
      </c>
      <c r="F9">
        <v>0.97599999999999998</v>
      </c>
      <c r="G9">
        <v>0.8014</v>
      </c>
      <c r="H9">
        <v>0.77070000000000005</v>
      </c>
      <c r="I9">
        <v>0.55689999999999995</v>
      </c>
      <c r="J9">
        <v>0.35470000000000002</v>
      </c>
      <c r="K9" s="10">
        <v>9.1999999999999998E-3</v>
      </c>
      <c r="L9">
        <v>0.86040000000000005</v>
      </c>
      <c r="M9">
        <v>2.86E-2</v>
      </c>
    </row>
    <row r="11" spans="1:19" x14ac:dyDescent="0.45">
      <c r="B11" t="s">
        <v>84</v>
      </c>
      <c r="D11" t="s">
        <v>85</v>
      </c>
    </row>
    <row r="12" spans="1:19" x14ac:dyDescent="0.4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  <c r="P12" t="s">
        <v>76</v>
      </c>
      <c r="Q12" t="s">
        <v>77</v>
      </c>
      <c r="R12" t="s">
        <v>78</v>
      </c>
      <c r="S12" t="s">
        <v>79</v>
      </c>
    </row>
    <row r="13" spans="1:19" x14ac:dyDescent="0.45">
      <c r="A13" t="s">
        <v>53</v>
      </c>
      <c r="B13">
        <v>0.97570000000000001</v>
      </c>
      <c r="C13">
        <v>0.8659</v>
      </c>
      <c r="D13">
        <v>0.97540000000000004</v>
      </c>
      <c r="E13">
        <v>0.86460000000000004</v>
      </c>
      <c r="F13">
        <v>0.73919999999999997</v>
      </c>
      <c r="G13">
        <v>0.75660000000000005</v>
      </c>
      <c r="H13">
        <v>0.72850000000000004</v>
      </c>
      <c r="I13">
        <v>0.74660000000000004</v>
      </c>
      <c r="J13">
        <v>0.62170000000000003</v>
      </c>
      <c r="K13">
        <v>0.60060000000000002</v>
      </c>
      <c r="L13">
        <v>0.49630000000000002</v>
      </c>
      <c r="M13">
        <v>0.46629999999999999</v>
      </c>
      <c r="N13" s="10">
        <v>1.2800000000000001E-2</v>
      </c>
      <c r="O13" s="10">
        <v>1.2E-2</v>
      </c>
      <c r="P13">
        <v>0.81699999999999995</v>
      </c>
      <c r="Q13">
        <v>0.81699999999999995</v>
      </c>
      <c r="R13">
        <v>3.0499999999999999E-2</v>
      </c>
      <c r="S13">
        <v>4.0099999999999997E-2</v>
      </c>
    </row>
    <row r="15" spans="1:19" x14ac:dyDescent="0.45">
      <c r="A15" t="s">
        <v>80</v>
      </c>
    </row>
    <row r="16" spans="1:19" x14ac:dyDescent="0.45">
      <c r="A16" t="s">
        <v>57</v>
      </c>
      <c r="B16">
        <v>0.97289999999999999</v>
      </c>
      <c r="C16">
        <v>0.89290000000000003</v>
      </c>
      <c r="D16">
        <v>0.97260000000000002</v>
      </c>
      <c r="E16">
        <v>0.89180000000000004</v>
      </c>
      <c r="F16">
        <v>0.7893</v>
      </c>
      <c r="G16">
        <v>0.76639999999999997</v>
      </c>
      <c r="H16">
        <v>0.78069999999999995</v>
      </c>
      <c r="I16">
        <v>0.75690000000000002</v>
      </c>
      <c r="J16">
        <v>0.57350000000000001</v>
      </c>
      <c r="K16">
        <v>0.60389999999999999</v>
      </c>
      <c r="L16">
        <v>0.43440000000000001</v>
      </c>
      <c r="M16">
        <v>0.43319999999999997</v>
      </c>
      <c r="N16" s="10">
        <v>1.12E-2</v>
      </c>
      <c r="O16" s="10">
        <v>1.12E-2</v>
      </c>
      <c r="P16">
        <v>0.80279999999999996</v>
      </c>
      <c r="Q16">
        <v>0.79949999999999999</v>
      </c>
      <c r="R16">
        <v>5.9400000000000001E-2</v>
      </c>
      <c r="S16">
        <v>5.28E-2</v>
      </c>
    </row>
    <row r="18" spans="1:19" x14ac:dyDescent="0.45">
      <c r="A18" t="s">
        <v>81</v>
      </c>
    </row>
    <row r="19" spans="1:19" x14ac:dyDescent="0.45">
      <c r="A19" t="s">
        <v>59</v>
      </c>
      <c r="B19">
        <v>0.98009999999999997</v>
      </c>
      <c r="C19">
        <v>0.96179999999999999</v>
      </c>
      <c r="D19">
        <v>0.97940000000000005</v>
      </c>
      <c r="E19">
        <v>0.96040000000000003</v>
      </c>
      <c r="F19">
        <v>0.79210000000000003</v>
      </c>
      <c r="G19">
        <v>0.82499999999999996</v>
      </c>
      <c r="H19">
        <v>0.76</v>
      </c>
      <c r="I19">
        <v>0.79790000000000005</v>
      </c>
      <c r="J19">
        <v>0.55500000000000005</v>
      </c>
      <c r="K19">
        <v>0.50929999999999997</v>
      </c>
      <c r="L19">
        <v>0.42849999999999999</v>
      </c>
      <c r="M19">
        <v>0.37490000000000001</v>
      </c>
      <c r="N19" s="10">
        <v>1.11E-2</v>
      </c>
      <c r="O19" s="10">
        <v>9.7000000000000003E-3</v>
      </c>
      <c r="P19">
        <v>0.84309999999999996</v>
      </c>
      <c r="Q19">
        <v>0.8518</v>
      </c>
      <c r="R19">
        <v>2.8199999999999999E-2</v>
      </c>
      <c r="S19">
        <v>3.1199999999999999E-2</v>
      </c>
    </row>
    <row r="21" spans="1:19" x14ac:dyDescent="0.45">
      <c r="A21" t="s">
        <v>82</v>
      </c>
    </row>
    <row r="22" spans="1:19" x14ac:dyDescent="0.45">
      <c r="A22" t="s">
        <v>60</v>
      </c>
      <c r="B22">
        <v>0.97650000000000003</v>
      </c>
      <c r="C22">
        <v>0.9768</v>
      </c>
      <c r="D22">
        <v>0.97570000000000001</v>
      </c>
      <c r="E22">
        <v>0.97599999999999998</v>
      </c>
      <c r="F22">
        <v>0.83399999999999996</v>
      </c>
      <c r="G22">
        <v>0.8014</v>
      </c>
      <c r="H22">
        <v>0.80830000000000002</v>
      </c>
      <c r="I22">
        <v>0.77070000000000005</v>
      </c>
      <c r="J22">
        <v>0.50919999999999999</v>
      </c>
      <c r="K22">
        <v>0.55689999999999995</v>
      </c>
      <c r="L22">
        <v>0.38400000000000001</v>
      </c>
      <c r="M22">
        <v>0.35470000000000002</v>
      </c>
      <c r="N22" s="10">
        <v>9.9000000000000008E-3</v>
      </c>
      <c r="O22" s="10">
        <v>9.1999999999999998E-3</v>
      </c>
      <c r="P22">
        <v>0.84389999999999998</v>
      </c>
      <c r="Q22">
        <v>0.86040000000000005</v>
      </c>
      <c r="R22">
        <v>3.8899999999999997E-2</v>
      </c>
      <c r="S22">
        <v>2.86E-2</v>
      </c>
    </row>
    <row r="24" spans="1:19" x14ac:dyDescent="0.45">
      <c r="A24" t="s"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6ECA-13F4-4761-A967-9507F31FA72E}">
  <dimension ref="A1:P6"/>
  <sheetViews>
    <sheetView tabSelected="1" workbookViewId="0">
      <selection activeCell="I23" sqref="I23"/>
    </sheetView>
  </sheetViews>
  <sheetFormatPr defaultRowHeight="14.25" x14ac:dyDescent="0.45"/>
  <cols>
    <col min="1" max="1" width="31.3984375" bestFit="1" customWidth="1"/>
    <col min="2" max="2" width="21.19921875" bestFit="1" customWidth="1"/>
    <col min="3" max="4" width="7.265625" bestFit="1" customWidth="1"/>
    <col min="5" max="5" width="8.9296875" bestFit="1" customWidth="1"/>
    <col min="6" max="16" width="9.1328125" bestFit="1" customWidth="1"/>
  </cols>
  <sheetData>
    <row r="1" spans="1:16" x14ac:dyDescent="0.45">
      <c r="A1" s="5" t="s">
        <v>88</v>
      </c>
      <c r="B1" s="5" t="s">
        <v>43</v>
      </c>
      <c r="C1" s="4" t="s">
        <v>89</v>
      </c>
      <c r="D1" s="4"/>
      <c r="E1" s="4" t="s">
        <v>90</v>
      </c>
      <c r="F1" s="4"/>
      <c r="G1" s="4" t="s">
        <v>91</v>
      </c>
      <c r="H1" s="4"/>
      <c r="I1" s="4" t="s">
        <v>92</v>
      </c>
      <c r="J1" s="4"/>
      <c r="K1" s="4" t="s">
        <v>93</v>
      </c>
      <c r="L1" s="4"/>
      <c r="M1" s="4" t="s">
        <v>86</v>
      </c>
      <c r="N1" s="4"/>
      <c r="O1" s="4" t="s">
        <v>87</v>
      </c>
      <c r="P1" s="4"/>
    </row>
    <row r="2" spans="1:16" x14ac:dyDescent="0.45">
      <c r="A2" s="5"/>
      <c r="B2" s="5"/>
      <c r="C2" t="s">
        <v>54</v>
      </c>
      <c r="D2" t="s">
        <v>56</v>
      </c>
      <c r="E2" t="s">
        <v>54</v>
      </c>
      <c r="F2" t="s">
        <v>56</v>
      </c>
      <c r="G2" t="s">
        <v>54</v>
      </c>
      <c r="H2" t="s">
        <v>56</v>
      </c>
      <c r="I2" t="s">
        <v>54</v>
      </c>
      <c r="J2" t="s">
        <v>56</v>
      </c>
      <c r="K2" t="s">
        <v>54</v>
      </c>
      <c r="L2" t="s">
        <v>56</v>
      </c>
      <c r="M2" t="s">
        <v>54</v>
      </c>
      <c r="N2" t="s">
        <v>56</v>
      </c>
      <c r="O2" t="s">
        <v>54</v>
      </c>
      <c r="P2" t="s">
        <v>56</v>
      </c>
    </row>
    <row r="3" spans="1:16" x14ac:dyDescent="0.45">
      <c r="A3" t="s">
        <v>94</v>
      </c>
      <c r="B3" t="s">
        <v>80</v>
      </c>
      <c r="C3" s="11">
        <v>0.73919999999999997</v>
      </c>
      <c r="D3" s="11">
        <v>0.75660000000000005</v>
      </c>
      <c r="E3" s="11">
        <v>0.72850000000000004</v>
      </c>
      <c r="F3" s="11">
        <v>0.74660000000000004</v>
      </c>
      <c r="G3" s="11">
        <v>0.62170000000000003</v>
      </c>
      <c r="H3" s="11">
        <v>0.60060000000000002</v>
      </c>
      <c r="I3" s="11">
        <v>0.49630000000000002</v>
      </c>
      <c r="J3" s="11">
        <v>0.46629999999999999</v>
      </c>
      <c r="K3" s="11">
        <v>1.2800000000000001E-2</v>
      </c>
      <c r="L3" s="11">
        <v>1.2E-2</v>
      </c>
      <c r="M3" s="11">
        <v>0.81699999999999995</v>
      </c>
      <c r="N3" s="11">
        <v>0.81699999999999995</v>
      </c>
      <c r="O3" s="11">
        <v>3.0499999999999999E-2</v>
      </c>
      <c r="P3" s="11">
        <v>4.0099999999999997E-2</v>
      </c>
    </row>
    <row r="4" spans="1:16" x14ac:dyDescent="0.45">
      <c r="A4" t="s">
        <v>95</v>
      </c>
      <c r="B4" t="s">
        <v>81</v>
      </c>
      <c r="C4" s="11">
        <v>0.7893</v>
      </c>
      <c r="D4" s="11">
        <v>0.76639999999999997</v>
      </c>
      <c r="E4" s="11">
        <v>0.78069999999999995</v>
      </c>
      <c r="F4" s="11">
        <v>0.75690000000000002</v>
      </c>
      <c r="G4" s="11">
        <v>0.57350000000000001</v>
      </c>
      <c r="H4" s="11">
        <v>0.60389999999999999</v>
      </c>
      <c r="I4" s="11">
        <v>0.43440000000000001</v>
      </c>
      <c r="J4" s="11">
        <v>0.43319999999999997</v>
      </c>
      <c r="K4" s="11">
        <v>1.12E-2</v>
      </c>
      <c r="L4" s="11">
        <v>1.12E-2</v>
      </c>
      <c r="M4" s="11">
        <v>0.80279999999999996</v>
      </c>
      <c r="N4" s="11">
        <v>0.79949999999999999</v>
      </c>
      <c r="O4" s="11">
        <v>5.9400000000000001E-2</v>
      </c>
      <c r="P4" s="11">
        <v>5.28E-2</v>
      </c>
    </row>
    <row r="5" spans="1:16" x14ac:dyDescent="0.45">
      <c r="A5" t="s">
        <v>96</v>
      </c>
      <c r="B5" t="s">
        <v>82</v>
      </c>
      <c r="C5" s="11">
        <v>0.79210000000000003</v>
      </c>
      <c r="D5" s="11">
        <v>0.82499999999999996</v>
      </c>
      <c r="E5" s="11">
        <v>0.76</v>
      </c>
      <c r="F5" s="11">
        <v>0.79790000000000005</v>
      </c>
      <c r="G5" s="11">
        <v>0.55500000000000005</v>
      </c>
      <c r="H5" s="11">
        <v>0.50929999999999997</v>
      </c>
      <c r="I5" s="11">
        <v>0.42849999999999999</v>
      </c>
      <c r="J5" s="11">
        <v>0.37490000000000001</v>
      </c>
      <c r="K5" s="11">
        <v>1.11E-2</v>
      </c>
      <c r="L5" s="11">
        <v>9.7000000000000003E-3</v>
      </c>
      <c r="M5" s="11">
        <v>0.84309999999999996</v>
      </c>
      <c r="N5" s="11">
        <v>0.8518</v>
      </c>
      <c r="O5" s="11">
        <v>2.8199999999999999E-2</v>
      </c>
      <c r="P5" s="11">
        <v>3.1199999999999999E-2</v>
      </c>
    </row>
    <row r="6" spans="1:16" x14ac:dyDescent="0.45">
      <c r="A6" t="s">
        <v>97</v>
      </c>
      <c r="B6" t="s">
        <v>83</v>
      </c>
      <c r="C6" s="11">
        <v>0.83399999999999996</v>
      </c>
      <c r="D6" s="11">
        <v>0.8014</v>
      </c>
      <c r="E6" s="11">
        <v>0.80830000000000002</v>
      </c>
      <c r="F6" s="11">
        <v>0.77070000000000005</v>
      </c>
      <c r="G6" s="11">
        <v>0.50919999999999999</v>
      </c>
      <c r="H6" s="11">
        <v>0.55689999999999995</v>
      </c>
      <c r="I6" s="11">
        <v>0.38400000000000001</v>
      </c>
      <c r="J6" s="11">
        <v>0.35470000000000002</v>
      </c>
      <c r="K6" s="11">
        <v>9.9000000000000008E-3</v>
      </c>
      <c r="L6" s="11">
        <v>9.1999999999999998E-3</v>
      </c>
      <c r="M6" s="11">
        <v>0.84389999999999998</v>
      </c>
      <c r="N6" s="11">
        <v>0.86040000000000005</v>
      </c>
      <c r="O6" s="11">
        <v>3.8899999999999997E-2</v>
      </c>
      <c r="P6" s="11">
        <v>2.86E-2</v>
      </c>
    </row>
  </sheetData>
  <mergeCells count="9">
    <mergeCell ref="O1:P1"/>
    <mergeCell ref="A1:A2"/>
    <mergeCell ref="B1:B2"/>
    <mergeCell ref="C1:D1"/>
    <mergeCell ref="E1:F1"/>
    <mergeCell ref="G1:H1"/>
    <mergeCell ref="I1:J1"/>
    <mergeCell ref="K1:L1"/>
    <mergeCell ref="M1:N1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988F-4849-4475-8C08-6CD56BF4A921}">
  <dimension ref="A1:F19"/>
  <sheetViews>
    <sheetView workbookViewId="0">
      <selection activeCell="K16" sqref="K16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2</v>
      </c>
      <c r="C2">
        <v>2019.8190999999999</v>
      </c>
      <c r="D2">
        <v>0.27589999999999998</v>
      </c>
      <c r="E2">
        <v>1.5627</v>
      </c>
      <c r="F2">
        <v>0.4955</v>
      </c>
    </row>
    <row r="3" spans="1:6" x14ac:dyDescent="0.45">
      <c r="A3" t="s">
        <v>7</v>
      </c>
      <c r="B3">
        <v>2</v>
      </c>
      <c r="C3">
        <v>2126.6359000000002</v>
      </c>
      <c r="D3">
        <v>0.22700000000000001</v>
      </c>
      <c r="E3">
        <v>1.7305999999999999</v>
      </c>
      <c r="F3">
        <v>0.46089999999999998</v>
      </c>
    </row>
    <row r="4" spans="1:6" x14ac:dyDescent="0.45">
      <c r="A4" t="s">
        <v>8</v>
      </c>
      <c r="B4">
        <v>2</v>
      </c>
      <c r="C4">
        <v>2661.1334999999999</v>
      </c>
      <c r="D4">
        <v>7.0199999999999999E-2</v>
      </c>
      <c r="E4">
        <v>4.1700999999999997</v>
      </c>
      <c r="F4">
        <v>0.21460000000000001</v>
      </c>
    </row>
    <row r="5" spans="1:6" x14ac:dyDescent="0.45">
      <c r="A5" t="s">
        <v>6</v>
      </c>
      <c r="B5">
        <v>3</v>
      </c>
      <c r="C5">
        <v>1414.691</v>
      </c>
      <c r="D5">
        <v>0.32540000000000002</v>
      </c>
      <c r="E5">
        <v>1.1556</v>
      </c>
      <c r="F5">
        <v>0.53449999999999998</v>
      </c>
    </row>
    <row r="6" spans="1:6" x14ac:dyDescent="0.45">
      <c r="A6" t="s">
        <v>7</v>
      </c>
      <c r="B6">
        <v>3</v>
      </c>
      <c r="C6">
        <v>1553.0118</v>
      </c>
      <c r="D6">
        <v>0.28449999999999998</v>
      </c>
      <c r="E6">
        <v>1.2484999999999999</v>
      </c>
      <c r="F6">
        <v>0.53659999999999997</v>
      </c>
    </row>
    <row r="7" spans="1:6" x14ac:dyDescent="0.45">
      <c r="A7" t="s">
        <v>8</v>
      </c>
      <c r="B7">
        <v>3</v>
      </c>
      <c r="C7">
        <v>2573.3834999999999</v>
      </c>
      <c r="D7">
        <v>2.9399999999999999E-2</v>
      </c>
      <c r="E7">
        <v>5.2378</v>
      </c>
      <c r="F7">
        <v>0.15809999999999999</v>
      </c>
    </row>
    <row r="8" spans="1:6" x14ac:dyDescent="0.45">
      <c r="A8" t="s">
        <v>6</v>
      </c>
      <c r="B8">
        <v>4</v>
      </c>
      <c r="C8">
        <v>1121.4309000000001</v>
      </c>
      <c r="D8">
        <v>0.33479999999999999</v>
      </c>
      <c r="E8">
        <v>1.0807</v>
      </c>
      <c r="F8">
        <v>0.52129999999999999</v>
      </c>
    </row>
    <row r="9" spans="1:6" x14ac:dyDescent="0.45">
      <c r="A9" t="s">
        <v>7</v>
      </c>
      <c r="B9">
        <v>4</v>
      </c>
      <c r="C9">
        <v>1241.9739</v>
      </c>
      <c r="D9">
        <v>0.28910000000000002</v>
      </c>
      <c r="E9">
        <v>1.2198</v>
      </c>
      <c r="F9">
        <v>0.43690000000000001</v>
      </c>
    </row>
    <row r="10" spans="1:6" x14ac:dyDescent="0.45">
      <c r="A10" t="s">
        <v>8</v>
      </c>
      <c r="B10">
        <v>4</v>
      </c>
      <c r="C10">
        <v>2314.5956999999999</v>
      </c>
      <c r="D10">
        <v>3.4000000000000002E-2</v>
      </c>
      <c r="E10">
        <v>4.9105999999999996</v>
      </c>
      <c r="F10">
        <v>0.12280000000000001</v>
      </c>
    </row>
    <row r="11" spans="1:6" x14ac:dyDescent="0.45">
      <c r="A11" t="s">
        <v>6</v>
      </c>
      <c r="B11">
        <v>5</v>
      </c>
      <c r="C11">
        <v>968.11699999999996</v>
      </c>
      <c r="D11">
        <v>0.311</v>
      </c>
      <c r="E11">
        <v>1.1414</v>
      </c>
      <c r="F11">
        <v>0.42720000000000002</v>
      </c>
    </row>
    <row r="12" spans="1:6" x14ac:dyDescent="0.45">
      <c r="A12" t="s">
        <v>7</v>
      </c>
      <c r="B12">
        <v>5</v>
      </c>
      <c r="C12">
        <v>1183.5378000000001</v>
      </c>
      <c r="D12">
        <v>0.2351</v>
      </c>
      <c r="E12">
        <v>1.4706999999999999</v>
      </c>
      <c r="F12">
        <v>0.32740000000000002</v>
      </c>
    </row>
    <row r="13" spans="1:6" x14ac:dyDescent="0.45">
      <c r="A13" t="s">
        <v>8</v>
      </c>
      <c r="B13">
        <v>5</v>
      </c>
      <c r="C13">
        <v>1838.7366999999999</v>
      </c>
      <c r="D13">
        <v>0.10050000000000001</v>
      </c>
      <c r="E13">
        <v>2.6168</v>
      </c>
      <c r="F13">
        <v>0.2021</v>
      </c>
    </row>
    <row r="14" spans="1:6" x14ac:dyDescent="0.45">
      <c r="A14" t="s">
        <v>6</v>
      </c>
      <c r="B14">
        <v>6</v>
      </c>
      <c r="C14">
        <v>846.92499999999995</v>
      </c>
      <c r="D14">
        <v>0.31090000000000001</v>
      </c>
      <c r="E14">
        <v>1.0848</v>
      </c>
      <c r="F14">
        <v>0.43990000000000001</v>
      </c>
    </row>
    <row r="15" spans="1:6" x14ac:dyDescent="0.45">
      <c r="A15" t="s">
        <v>7</v>
      </c>
      <c r="B15">
        <v>6</v>
      </c>
      <c r="C15">
        <v>1107.8040000000001</v>
      </c>
      <c r="D15">
        <v>0.23039999999999999</v>
      </c>
      <c r="E15">
        <v>1.5129999999999999</v>
      </c>
      <c r="F15">
        <v>0.35610000000000003</v>
      </c>
    </row>
    <row r="16" spans="1:6" x14ac:dyDescent="0.45">
      <c r="A16" t="s">
        <v>8</v>
      </c>
      <c r="B16">
        <v>6</v>
      </c>
      <c r="C16">
        <v>1754.2637999999999</v>
      </c>
      <c r="D16">
        <v>8.5500000000000007E-2</v>
      </c>
      <c r="E16">
        <v>2.83</v>
      </c>
      <c r="F16">
        <v>0.16539999999999999</v>
      </c>
    </row>
    <row r="17" spans="1:6" x14ac:dyDescent="0.45">
      <c r="A17" t="s">
        <v>6</v>
      </c>
      <c r="B17">
        <v>7</v>
      </c>
      <c r="C17">
        <v>767.86180000000002</v>
      </c>
      <c r="D17">
        <v>0.30709999999999998</v>
      </c>
      <c r="E17">
        <v>1.0563</v>
      </c>
      <c r="F17">
        <v>0.41689999999999999</v>
      </c>
    </row>
    <row r="18" spans="1:6" x14ac:dyDescent="0.45">
      <c r="A18" t="s">
        <v>7</v>
      </c>
      <c r="B18">
        <v>7</v>
      </c>
      <c r="C18">
        <v>1074.1202000000001</v>
      </c>
      <c r="D18">
        <v>0.21190000000000001</v>
      </c>
      <c r="E18">
        <v>1.7598</v>
      </c>
      <c r="F18">
        <v>0.26850000000000002</v>
      </c>
    </row>
    <row r="19" spans="1:6" x14ac:dyDescent="0.45">
      <c r="A19" t="s">
        <v>8</v>
      </c>
      <c r="B19">
        <v>7</v>
      </c>
      <c r="C19">
        <v>1668.6854000000001</v>
      </c>
      <c r="D19">
        <v>9.4600000000000004E-2</v>
      </c>
      <c r="E19">
        <v>2.7833000000000001</v>
      </c>
      <c r="F19">
        <v>0.19070000000000001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AC284-7A53-4359-B5AE-09A8A245E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Sheet6</vt:lpstr>
      <vt:lpstr>evaluation_all_k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Solideo G. Bangun</dc:creator>
  <cp:lastModifiedBy>Solideo Bangun</cp:lastModifiedBy>
  <dcterms:created xsi:type="dcterms:W3CDTF">2026-04-05T10:44:16Z</dcterms:created>
  <dcterms:modified xsi:type="dcterms:W3CDTF">2026-04-05T17:43:20Z</dcterms:modified>
</cp:coreProperties>
</file>